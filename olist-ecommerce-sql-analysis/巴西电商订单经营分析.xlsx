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桌面\简历项目\github上传材料\巴西表连接\"/>
    </mc:Choice>
  </mc:AlternateContent>
  <xr:revisionPtr revIDLastSave="0" documentId="13_ncr:1_{C6B0B6E5-6D7D-4D47-ACC7-79A6DB7DC3C9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项目总览" sheetId="7" r:id="rId1"/>
    <sheet name="月度GMV趋势" sheetId="1" r:id="rId2"/>
    <sheet name="各州销售表现" sheetId="2" r:id="rId3"/>
    <sheet name="商品类目top10" sheetId="3" r:id="rId4"/>
    <sheet name="客户RFM分层" sheetId="4" r:id="rId5"/>
    <sheet name="配送时长与评分" sheetId="5" r:id="rId6"/>
    <sheet name="卖家GMV集中度" sheetId="6" r:id="rId7"/>
  </sheets>
  <calcPr calcId="0"/>
</workbook>
</file>

<file path=xl/sharedStrings.xml><?xml version="1.0" encoding="utf-8"?>
<sst xmlns="http://schemas.openxmlformats.org/spreadsheetml/2006/main" count="94" uniqueCount="92">
  <si>
    <t>purchase_month</t>
  </si>
  <si>
    <t>delivered_orders</t>
  </si>
  <si>
    <t>order_gmv</t>
  </si>
  <si>
    <t>avg_order_amount</t>
  </si>
  <si>
    <t>customer_state</t>
  </si>
  <si>
    <t>product_amount</t>
  </si>
  <si>
    <t>freight_amount</t>
  </si>
  <si>
    <t>total_amount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</si>
  <si>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</si>
  <si>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</si>
  <si>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</si>
  <si>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</si>
  <si>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</si>
  <si>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</si>
  <si>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</si>
  <si>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</si>
  <si>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</si>
  <si>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</si>
  <si>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</si>
  <si>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</si>
  <si>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</si>
  <si>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</si>
  <si>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</si>
  <si>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</si>
  <si>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</si>
  <si>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</si>
  <si>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</si>
  <si>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</si>
  <si>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</si>
  <si>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</si>
  <si>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</si>
  <si>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</si>
  <si>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</si>
  <si>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</si>
  <si>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</si>
  <si>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gmv_rank</t>
  </si>
  <si>
    <t>category_name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</si>
  <si>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</si>
  <si>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</si>
  <si>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</si>
  <si>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</si>
  <si>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</si>
  <si>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</si>
  <si>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</si>
  <si>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</si>
  <si>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</si>
  <si>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</si>
  <si>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客户类型</t>
  </si>
  <si>
    <t>客户数</t>
  </si>
  <si>
    <t>平均未购买天数</t>
  </si>
  <si>
    <t>平均购买次数</t>
  </si>
  <si>
    <t>平均消费金额</t>
  </si>
  <si>
    <t>一般客户</t>
  </si>
  <si>
    <t>低价值客户</t>
  </si>
  <si>
    <t>潜力客户</t>
  </si>
  <si>
    <t>流失风险客户</t>
  </si>
  <si>
    <t>高价值客户</t>
  </si>
  <si>
    <t>配送时长分组</t>
  </si>
  <si>
    <t>订单数</t>
  </si>
  <si>
    <t>平均配送天数</t>
  </si>
  <si>
    <t>平均评价分</t>
  </si>
  <si>
    <t>7天及以内</t>
  </si>
  <si>
    <t>8-14天</t>
  </si>
  <si>
    <t>15-21天</t>
  </si>
  <si>
    <t>超过21天</t>
  </si>
  <si>
    <t>卖家排名</t>
  </si>
  <si>
    <t>卖家ID</t>
  </si>
  <si>
    <t>已送达订单数</t>
  </si>
  <si>
    <t>GMV</t>
  </si>
  <si>
    <t>累计GMV贡献占比</t>
  </si>
  <si>
    <t>4869f7a5dfa277a7dca6462dcf3b52b2</t>
  </si>
  <si>
    <t>7c67e1448b00f6e969d365cea6b010ab</t>
  </si>
  <si>
    <t>4a3ca9315b744ce9f8e9374361493884</t>
  </si>
  <si>
    <t>53243585a1d6dc2643021fd1853d8905</t>
  </si>
  <si>
    <t>fa1c13f2614d7b5c4749cbc52fecda94</t>
  </si>
  <si>
    <t>da8622b14eb17ae2831f4ac5b9dab84a</t>
  </si>
  <si>
    <t>7e93a43ef30c4f03f38b393420bc753a</t>
  </si>
  <si>
    <t>1025f0e2d44d7041d6cf58b6550e0bfa</t>
  </si>
  <si>
    <t>7a67c85e85bb2ce8582c35f2203ad736</t>
  </si>
  <si>
    <t>955fee9216a65b617aa5c0531780ce60</t>
  </si>
  <si>
    <t>6560211a19b47992c3666cc44a7e94c0</t>
  </si>
  <si>
    <t>1f50f920176fa81dab994f9023523100</t>
  </si>
  <si>
    <t>46dc3b2cc0980fb8ec44634e21d2718e</t>
  </si>
  <si>
    <t>a1043bafd471dff536d0c462352beb48</t>
  </si>
  <si>
    <t>620c87c171fb2a6dd6e8bb4dec959fc6</t>
  </si>
  <si>
    <t>cc419e0650a3c5ba77189a1882b7556a</t>
  </si>
  <si>
    <t>5dceca129747e92ff8ef7a997dc4f8ca</t>
  </si>
  <si>
    <t>7d13fca15225358621be4086e1eb0964</t>
  </si>
  <si>
    <t>3d871de0142ce09b7081e2b9d1733cb1</t>
  </si>
  <si>
    <t>edb1ef5e36e0c8cd84eb3c9b003e486d</t>
  </si>
  <si>
    <t>已送达订单</t>
    <phoneticPr fontId="3" type="noConversion"/>
  </si>
  <si>
    <t>GMV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</si>
</sst>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rgb="FF000000"/>
      <name val="Courier New"/>
      <family val="3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月度</a:t>
            </a:r>
            <a:r>
              <a:rPr lang="en-US" altLang="zh-CN"/>
              <a:t>GMV</a:t>
            </a:r>
            <a:r>
              <a:rPr lang="zh-CN" altLang="en-US"/>
              <a:t>与订单量趋势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月度GMV趋势!$C$1</c:f>
              <c:strCache>
                <c:ptCount val="1"/>
                <c:pt idx="0">
                  <c:v>GMV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月度GMV趋势!$A$2:$A$24</c:f>
              <c:numCache>
                <c:formatCode>mmm\-yy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月度GMV趋势!$C$2:$C$24</c:f>
              <c:numCache>
                <c:formatCode>General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B-4698-B995-515C7D33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2186687"/>
        <c:axId val="1598249919"/>
      </c:barChart>
      <c:lineChart>
        <c:grouping val="standard"/>
        <c:varyColors val="0"/>
        <c:ser>
          <c:idx val="0"/>
          <c:order val="0"/>
          <c:tx>
            <c:strRef>
              <c:f>月度GMV趋势!$B$1</c:f>
              <c:strCache>
                <c:ptCount val="1"/>
                <c:pt idx="0">
                  <c:v>已送达订单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月度GMV趋势!$A$2:$A$24</c:f>
              <c:numCache>
                <c:formatCode>mmm\-yy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月度GMV趋势!$B$2:$B$24</c:f>
              <c:numCache>
                <c:formatCode>General</c:formatCode>
                <c:ptCount val="23"/>
                <c:pt idx="0">
                  <c:v>1</c:v>
                </c:pt>
                <c:pt idx="1">
                  <c:v>265</c:v>
                </c:pt>
                <c:pt idx="2">
                  <c:v>1</c:v>
                </c:pt>
                <c:pt idx="3">
                  <c:v>750</c:v>
                </c:pt>
                <c:pt idx="4">
                  <c:v>1653</c:v>
                </c:pt>
                <c:pt idx="5">
                  <c:v>2546</c:v>
                </c:pt>
                <c:pt idx="6">
                  <c:v>2303</c:v>
                </c:pt>
                <c:pt idx="7">
                  <c:v>3546</c:v>
                </c:pt>
                <c:pt idx="8">
                  <c:v>3135</c:v>
                </c:pt>
                <c:pt idx="9">
                  <c:v>3872</c:v>
                </c:pt>
                <c:pt idx="10">
                  <c:v>4193</c:v>
                </c:pt>
                <c:pt idx="11">
                  <c:v>4150</c:v>
                </c:pt>
                <c:pt idx="12">
                  <c:v>4478</c:v>
                </c:pt>
                <c:pt idx="13">
                  <c:v>7289</c:v>
                </c:pt>
                <c:pt idx="14">
                  <c:v>5513</c:v>
                </c:pt>
                <c:pt idx="15">
                  <c:v>7069</c:v>
                </c:pt>
                <c:pt idx="16">
                  <c:v>6555</c:v>
                </c:pt>
                <c:pt idx="17">
                  <c:v>7003</c:v>
                </c:pt>
                <c:pt idx="18">
                  <c:v>6798</c:v>
                </c:pt>
                <c:pt idx="19">
                  <c:v>6749</c:v>
                </c:pt>
                <c:pt idx="20">
                  <c:v>6099</c:v>
                </c:pt>
                <c:pt idx="21">
                  <c:v>6159</c:v>
                </c:pt>
                <c:pt idx="22">
                  <c:v>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B-4698-B995-515C7D33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45711"/>
        <c:axId val="1598273439"/>
      </c:lineChart>
      <c:dateAx>
        <c:axId val="19921866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49919"/>
        <c:crosses val="autoZero"/>
        <c:auto val="1"/>
        <c:lblOffset val="100"/>
        <c:baseTimeUnit val="months"/>
      </c:dateAx>
      <c:valAx>
        <c:axId val="159824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186687"/>
        <c:crosses val="autoZero"/>
        <c:crossBetween val="between"/>
      </c:valAx>
      <c:valAx>
        <c:axId val="1598273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645711"/>
        <c:crosses val="max"/>
        <c:crossBetween val="between"/>
      </c:valAx>
      <c:dateAx>
        <c:axId val="1955645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9827343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各州</a:t>
            </a:r>
            <a:r>
              <a:rPr lang="en-US" altLang="zh-CN"/>
              <a:t>GMV 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各州销售表现!$E$1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各州销售表现!$A$2:$A$11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各州销售表现!$E$2:$E$11</c:f>
              <c:numCache>
                <c:formatCode>General</c:formatCode>
                <c:ptCount val="10"/>
                <c:pt idx="0">
                  <c:v>5769703.1500000004</c:v>
                </c:pt>
                <c:pt idx="1">
                  <c:v>2055401.57</c:v>
                </c:pt>
                <c:pt idx="2">
                  <c:v>1818891.67</c:v>
                </c:pt>
                <c:pt idx="3">
                  <c:v>861472.79</c:v>
                </c:pt>
                <c:pt idx="4">
                  <c:v>781708.80000000005</c:v>
                </c:pt>
                <c:pt idx="5">
                  <c:v>595127.78</c:v>
                </c:pt>
                <c:pt idx="6">
                  <c:v>591137.81000000006</c:v>
                </c:pt>
                <c:pt idx="7">
                  <c:v>346123.35</c:v>
                </c:pt>
                <c:pt idx="8">
                  <c:v>334212.34999999998</c:v>
                </c:pt>
                <c:pt idx="9">
                  <c:v>317657.93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A-4983-81D3-2D463DE41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55684687"/>
        <c:axId val="1598279679"/>
      </c:barChart>
      <c:catAx>
        <c:axId val="19556846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79679"/>
        <c:crosses val="autoZero"/>
        <c:auto val="1"/>
        <c:lblAlgn val="ctr"/>
        <c:lblOffset val="100"/>
        <c:noMultiLvlLbl val="0"/>
      </c:catAx>
      <c:valAx>
        <c:axId val="15982796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68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商品类目</a:t>
            </a:r>
            <a:r>
              <a:rPr lang="en-US" altLang="zh-CN"/>
              <a:t>GMV 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商品类目top10!$D$1</c:f>
              <c:strCache>
                <c:ptCount val="1"/>
                <c:pt idx="0">
                  <c:v>order_gmv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商品类目top10!$B$2:$B$11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商品类目top10!$D$2:$D$11</c:f>
              <c:numCache>
                <c:formatCode>General</c:formatCode>
                <c:ptCount val="10"/>
                <c:pt idx="0">
                  <c:v>1412089.53</c:v>
                </c:pt>
                <c:pt idx="1">
                  <c:v>1264333.1200000001</c:v>
                </c:pt>
                <c:pt idx="2">
                  <c:v>1225209.26</c:v>
                </c:pt>
                <c:pt idx="3">
                  <c:v>1118256.9099999999</c:v>
                </c:pt>
                <c:pt idx="4">
                  <c:v>1032723.77</c:v>
                </c:pt>
                <c:pt idx="5">
                  <c:v>880329.92</c:v>
                </c:pt>
                <c:pt idx="6">
                  <c:v>758392.25</c:v>
                </c:pt>
                <c:pt idx="7">
                  <c:v>691680.89</c:v>
                </c:pt>
                <c:pt idx="8">
                  <c:v>669454.75</c:v>
                </c:pt>
                <c:pt idx="9">
                  <c:v>567145.68000000005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2-492D-BD47-2BAB6688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6775279"/>
        <c:axId val="1598282559"/>
      </c:barChart>
      <c:catAx>
        <c:axId val="2056775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82559"/>
        <c:crosses val="autoZero"/>
        <c:auto val="1"/>
        <c:lblAlgn val="ctr"/>
        <c:lblOffset val="100"/>
        <c:noMultiLvlLbl val="0"/>
      </c:catAx>
      <c:valAx>
        <c:axId val="15982825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7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配送时长与用户评分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配送时长与评分!$B$1</c:f>
              <c:strCache>
                <c:ptCount val="1"/>
                <c:pt idx="0">
                  <c:v>订单数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配送时长与评分!$A$2:$A$5</c:f>
              <c:strCache>
                <c:ptCount val="4"/>
                <c:pt idx="0">
                  <c:v>7天及以内</c:v>
                </c:pt>
                <c:pt idx="1">
                  <c:v>8-14天</c:v>
                </c:pt>
                <c:pt idx="2">
                  <c:v>15-21天</c:v>
                </c:pt>
                <c:pt idx="3">
                  <c:v>超过21天</c:v>
                </c:pt>
              </c:strCache>
            </c:strRef>
          </c:cat>
          <c:val>
            <c:numRef>
              <c:f>配送时长与评分!$B$2:$B$5</c:f>
              <c:numCache>
                <c:formatCode>General</c:formatCode>
                <c:ptCount val="4"/>
                <c:pt idx="0">
                  <c:v>26046</c:v>
                </c:pt>
                <c:pt idx="1">
                  <c:v>40212</c:v>
                </c:pt>
                <c:pt idx="2">
                  <c:v>17713</c:v>
                </c:pt>
                <c:pt idx="3">
                  <c:v>12499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4-4BE6-BE40-6DF9F31C2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207567"/>
        <c:axId val="1598258559"/>
      </c:barChart>
      <c:lineChart>
        <c:grouping val="standard"/>
        <c:varyColors val="0"/>
        <c:ser>
          <c:idx val="1"/>
          <c:order val="1"/>
          <c:tx>
            <c:strRef>
              <c:f>配送时长与评分!$D$1</c:f>
              <c:strCache>
                <c:ptCount val="1"/>
                <c:pt idx="0">
                  <c:v>平均评价分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配送时长与评分!$A$2:$A$5</c:f>
              <c:strCache>
                <c:ptCount val="4"/>
                <c:pt idx="0">
                  <c:v>7天及以内</c:v>
                </c:pt>
                <c:pt idx="1">
                  <c:v>8-14天</c:v>
                </c:pt>
                <c:pt idx="2">
                  <c:v>15-21天</c:v>
                </c:pt>
                <c:pt idx="3">
                  <c:v>超过21天</c:v>
                </c:pt>
              </c:strCache>
            </c:strRef>
          </c:cat>
          <c:val>
            <c:numRef>
              <c:f>配送时长与评分!$D$2:$D$5</c:f>
              <c:numCache>
                <c:formatCode>General</c:formatCode>
                <c:ptCount val="4"/>
                <c:pt idx="0">
                  <c:v>4.42</c:v>
                </c:pt>
                <c:pt idx="1">
                  <c:v>4.3099999999999996</c:v>
                </c:pt>
                <c:pt idx="2">
                  <c:v>4.1399999999999997</c:v>
                </c:pt>
                <c:pt idx="3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4-4BE6-BE40-6DF9F31C2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186399"/>
        <c:axId val="1899062015"/>
      </c:lineChart>
      <c:catAx>
        <c:axId val="19922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58559"/>
        <c:crosses val="autoZero"/>
        <c:auto val="1"/>
        <c:lblAlgn val="ctr"/>
        <c:lblOffset val="100"/>
        <c:noMultiLvlLbl val="0"/>
      </c:catAx>
      <c:valAx>
        <c:axId val="159825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207567"/>
        <c:crosses val="autoZero"/>
        <c:crossBetween val="between"/>
      </c:valAx>
      <c:valAx>
        <c:axId val="18990620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6186399"/>
        <c:crosses val="max"/>
        <c:crossBetween val="between"/>
        <c:majorUnit val="1"/>
      </c:valAx>
      <c:catAx>
        <c:axId val="19961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062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头部卖家</a:t>
            </a:r>
            <a:r>
              <a:rPr lang="en-US" altLang="zh-CN"/>
              <a:t>GMV</a:t>
            </a:r>
            <a:r>
              <a:rPr lang="zh-CN" altLang="en-US"/>
              <a:t>与累计贡献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卖家GMV集中度!$D$1</c:f>
              <c:strCache>
                <c:ptCount val="1"/>
                <c:pt idx="0">
                  <c:v>GMV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卖家GMV集中度!$A$2:$A$21</c15:sqref>
                  </c15:fullRef>
                </c:ext>
              </c:extLst>
              <c:f>卖家GMV集中度!$A$2:$A$21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卖家GMV集中度!$D$2:$D$24</c15:sqref>
                  </c15:fullRef>
                </c:ext>
              </c:extLst>
              <c:f>卖家GMV集中度!$D$2:$D$21</c:f>
              <c:numCache>
                <c:formatCode>General</c:formatCode>
                <c:ptCount val="20"/>
                <c:pt idx="0">
                  <c:v>247007.06</c:v>
                </c:pt>
                <c:pt idx="1">
                  <c:v>237806.69</c:v>
                </c:pt>
                <c:pt idx="2">
                  <c:v>231220.43</c:v>
                </c:pt>
                <c:pt idx="3">
                  <c:v>230797.02</c:v>
                </c:pt>
                <c:pt idx="4">
                  <c:v>200833.5</c:v>
                </c:pt>
                <c:pt idx="5">
                  <c:v>184706.78</c:v>
                </c:pt>
                <c:pt idx="6">
                  <c:v>171973.55</c:v>
                </c:pt>
                <c:pt idx="7">
                  <c:v>171924.96</c:v>
                </c:pt>
                <c:pt idx="8">
                  <c:v>160278.51999999999</c:v>
                </c:pt>
                <c:pt idx="9">
                  <c:v>156606.48000000001</c:v>
                </c:pt>
                <c:pt idx="10">
                  <c:v>148050.94</c:v>
                </c:pt>
                <c:pt idx="11">
                  <c:v>141712.94</c:v>
                </c:pt>
                <c:pt idx="12">
                  <c:v>134162.88</c:v>
                </c:pt>
                <c:pt idx="13">
                  <c:v>130412.74</c:v>
                </c:pt>
                <c:pt idx="14">
                  <c:v>126278.18</c:v>
                </c:pt>
                <c:pt idx="15">
                  <c:v>125936.99</c:v>
                </c:pt>
                <c:pt idx="16">
                  <c:v>124702.92</c:v>
                </c:pt>
                <c:pt idx="17">
                  <c:v>120934.47</c:v>
                </c:pt>
                <c:pt idx="18">
                  <c:v>115515.65</c:v>
                </c:pt>
                <c:pt idx="19">
                  <c:v>83031.14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4-4395-B5DC-BADD6B7A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214063"/>
        <c:axId val="15982484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卖家GMV集中度!$A$1</c15:sqref>
                        </c15:formulaRef>
                      </c:ext>
                    </c:extLst>
                    <c:strCache>
                      <c:ptCount val="1"/>
                      <c:pt idx="0">
                        <c:v>卖家排名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卖家GMV集中度!$A$2:$A$21</c15:sqref>
                        </c15:fullRef>
                        <c15:formulaRef>
                          <c15:sqref>卖家GMV集中度!$A$2:$A$21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卖家GMV集中度!$A$2:$A$21</c15:sqref>
                        </c15:fullRef>
                        <c15:formulaRef>
                          <c15:sqref>卖家GMV集中度!$A$2:$A$21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014-4395-B5DC-BADD6B7A4AD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卖家GMV集中度!$E$1</c:f>
              <c:strCache>
                <c:ptCount val="1"/>
                <c:pt idx="0">
                  <c:v>累计GMV贡献占比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卖家GMV集中度!$E$2:$E$24</c15:sqref>
                  </c15:fullRef>
                </c:ext>
              </c:extLst>
              <c:f>卖家GMV集中度!$E$2:$E$21</c:f>
              <c:numCache>
                <c:formatCode>General</c:formatCode>
                <c:ptCount val="20"/>
                <c:pt idx="0">
                  <c:v>1.6</c:v>
                </c:pt>
                <c:pt idx="1">
                  <c:v>3.14</c:v>
                </c:pt>
                <c:pt idx="2">
                  <c:v>4.6399999999999997</c:v>
                </c:pt>
                <c:pt idx="3">
                  <c:v>6.14</c:v>
                </c:pt>
                <c:pt idx="4">
                  <c:v>7.44</c:v>
                </c:pt>
                <c:pt idx="5">
                  <c:v>8.64</c:v>
                </c:pt>
                <c:pt idx="6">
                  <c:v>9.76</c:v>
                </c:pt>
                <c:pt idx="7">
                  <c:v>10.87</c:v>
                </c:pt>
                <c:pt idx="8">
                  <c:v>11.91</c:v>
                </c:pt>
                <c:pt idx="9">
                  <c:v>12.93</c:v>
                </c:pt>
                <c:pt idx="10">
                  <c:v>13.89</c:v>
                </c:pt>
                <c:pt idx="11">
                  <c:v>14.81</c:v>
                </c:pt>
                <c:pt idx="12">
                  <c:v>15.68</c:v>
                </c:pt>
                <c:pt idx="13">
                  <c:v>16.52</c:v>
                </c:pt>
                <c:pt idx="14">
                  <c:v>17.34</c:v>
                </c:pt>
                <c:pt idx="15">
                  <c:v>18.16</c:v>
                </c:pt>
                <c:pt idx="16">
                  <c:v>18.97</c:v>
                </c:pt>
                <c:pt idx="17">
                  <c:v>19.75</c:v>
                </c:pt>
                <c:pt idx="18">
                  <c:v>20.5</c:v>
                </c:pt>
                <c:pt idx="19">
                  <c:v>21.04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14-4395-B5DC-BADD6B7A4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721343"/>
        <c:axId val="1879977375"/>
      </c:lineChart>
      <c:catAx>
        <c:axId val="199221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48479"/>
        <c:crosses val="autoZero"/>
        <c:auto val="1"/>
        <c:lblAlgn val="ctr"/>
        <c:lblOffset val="100"/>
        <c:noMultiLvlLbl val="0"/>
      </c:catAx>
      <c:valAx>
        <c:axId val="15982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214063"/>
        <c:crosses val="autoZero"/>
        <c:crossBetween val="between"/>
      </c:valAx>
      <c:valAx>
        <c:axId val="18799773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721343"/>
        <c:crosses val="max"/>
        <c:crossBetween val="between"/>
      </c:valAx>
      <c:catAx>
        <c:axId val="1955721343"/>
        <c:scaling>
          <c:orientation val="minMax"/>
        </c:scaling>
        <c:delete val="1"/>
        <c:axPos val="b"/>
        <c:majorTickMark val="out"/>
        <c:minorTickMark val="none"/>
        <c:tickLblPos val="nextTo"/>
        <c:crossAx val="1879977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RFM</a:t>
            </a:r>
            <a:r>
              <a:rPr lang="zh-CN" altLang="en-US"/>
              <a:t>客户分层结构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客户RFM分层!$B$1</c:f>
              <c:strCache>
                <c:ptCount val="1"/>
                <c:pt idx="0">
                  <c:v>客户数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B6-40BC-92C5-103CED156CB2}"/>
              </c:ext>
            </c:extLst>
          </c:dPt>
          <c:cat>
            <c:strRef>
              <c:f>客户RFM分层!$A$2:$A$6</c:f>
              <c:strCache>
                <c:ptCount val="5"/>
                <c:pt idx="0">
                  <c:v>一般客户</c:v>
                </c:pt>
                <c:pt idx="1">
                  <c:v>低价值客户</c:v>
                </c:pt>
                <c:pt idx="2">
                  <c:v>潜力客户</c:v>
                </c:pt>
                <c:pt idx="3">
                  <c:v>流失风险客户</c:v>
                </c:pt>
                <c:pt idx="4">
                  <c:v>高价值客户</c:v>
                </c:pt>
              </c:strCache>
            </c:strRef>
          </c:cat>
          <c:val>
            <c:numRef>
              <c:f>客户RFM分层!$B$2:$B$6</c:f>
              <c:numCache>
                <c:formatCode>General</c:formatCode>
                <c:ptCount val="5"/>
                <c:pt idx="0">
                  <c:v>40388</c:v>
                </c:pt>
                <c:pt idx="1">
                  <c:v>22594</c:v>
                </c:pt>
                <c:pt idx="2">
                  <c:v>15509</c:v>
                </c:pt>
                <c:pt idx="3">
                  <c:v>14750</c:v>
                </c:pt>
                <c:pt idx="4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6-40BC-92C5-103CED156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646639"/>
        <c:axId val="1598253279"/>
      </c:barChart>
      <c:catAx>
        <c:axId val="195564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53279"/>
        <c:crosses val="autoZero"/>
        <c:auto val="1"/>
        <c:lblAlgn val="ctr"/>
        <c:lblOffset val="100"/>
        <c:noMultiLvlLbl val="0"/>
      </c:catAx>
      <c:valAx>
        <c:axId val="15982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6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月度</a:t>
            </a:r>
            <a:r>
              <a:rPr lang="en-US" altLang="zh-CN"/>
              <a:t>GMV</a:t>
            </a:r>
            <a:r>
              <a:rPr lang="zh-CN" altLang="en-US"/>
              <a:t>与订单量趋势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月度GMV趋势!$C$1</c:f>
              <c:strCache>
                <c:ptCount val="1"/>
                <c:pt idx="0">
                  <c:v>GMV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月度GMV趋势!$A$2:$A$24</c:f>
              <c:numCache>
                <c:formatCode>mmm\-yy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月度GMV趋势!$C$2:$C$24</c:f>
              <c:numCache>
                <c:formatCode>General</c:formatCode>
                <c:ptCount val="23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8-4714-BFD5-CC74A1B5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92186687"/>
        <c:axId val="1598249919"/>
      </c:barChart>
      <c:lineChart>
        <c:grouping val="standard"/>
        <c:varyColors val="0"/>
        <c:ser>
          <c:idx val="0"/>
          <c:order val="0"/>
          <c:tx>
            <c:strRef>
              <c:f>月度GMV趋势!$B$1</c:f>
              <c:strCache>
                <c:ptCount val="1"/>
                <c:pt idx="0">
                  <c:v>已送达订单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月度GMV趋势!$A$2:$A$24</c:f>
              <c:numCache>
                <c:formatCode>mmm\-yy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月度GMV趋势!$B$2:$B$24</c:f>
              <c:numCache>
                <c:formatCode>General</c:formatCode>
                <c:ptCount val="23"/>
                <c:pt idx="0">
                  <c:v>1</c:v>
                </c:pt>
                <c:pt idx="1">
                  <c:v>265</c:v>
                </c:pt>
                <c:pt idx="2">
                  <c:v>1</c:v>
                </c:pt>
                <c:pt idx="3">
                  <c:v>750</c:v>
                </c:pt>
                <c:pt idx="4">
                  <c:v>1653</c:v>
                </c:pt>
                <c:pt idx="5">
                  <c:v>2546</c:v>
                </c:pt>
                <c:pt idx="6">
                  <c:v>2303</c:v>
                </c:pt>
                <c:pt idx="7">
                  <c:v>3546</c:v>
                </c:pt>
                <c:pt idx="8">
                  <c:v>3135</c:v>
                </c:pt>
                <c:pt idx="9">
                  <c:v>3872</c:v>
                </c:pt>
                <c:pt idx="10">
                  <c:v>4193</c:v>
                </c:pt>
                <c:pt idx="11">
                  <c:v>4150</c:v>
                </c:pt>
                <c:pt idx="12">
                  <c:v>4478</c:v>
                </c:pt>
                <c:pt idx="13">
                  <c:v>7289</c:v>
                </c:pt>
                <c:pt idx="14">
                  <c:v>5513</c:v>
                </c:pt>
                <c:pt idx="15">
                  <c:v>7069</c:v>
                </c:pt>
                <c:pt idx="16">
                  <c:v>6555</c:v>
                </c:pt>
                <c:pt idx="17">
                  <c:v>7003</c:v>
                </c:pt>
                <c:pt idx="18">
                  <c:v>6798</c:v>
                </c:pt>
                <c:pt idx="19">
                  <c:v>6749</c:v>
                </c:pt>
                <c:pt idx="20">
                  <c:v>6099</c:v>
                </c:pt>
                <c:pt idx="21">
                  <c:v>6159</c:v>
                </c:pt>
                <c:pt idx="22">
                  <c:v>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8-4714-BFD5-CC74A1B5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645711"/>
        <c:axId val="1598273439"/>
      </c:lineChart>
      <c:dateAx>
        <c:axId val="19921866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49919"/>
        <c:crosses val="autoZero"/>
        <c:auto val="1"/>
        <c:lblOffset val="100"/>
        <c:baseTimeUnit val="months"/>
      </c:dateAx>
      <c:valAx>
        <c:axId val="159824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186687"/>
        <c:crosses val="autoZero"/>
        <c:crossBetween val="between"/>
      </c:valAx>
      <c:valAx>
        <c:axId val="1598273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645711"/>
        <c:crosses val="max"/>
        <c:crossBetween val="between"/>
      </c:valAx>
      <c:dateAx>
        <c:axId val="1955645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98273439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各州</a:t>
            </a:r>
            <a:r>
              <a:rPr lang="en-US" altLang="zh-CN"/>
              <a:t>GMV 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各州销售表现!$E$1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各州销售表现!$A$2:$A$11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各州销售表现!$E$2:$E$11</c:f>
              <c:numCache>
                <c:formatCode>General</c:formatCode>
                <c:ptCount val="10"/>
                <c:pt idx="0">
                  <c:v>5769703.1500000004</c:v>
                </c:pt>
                <c:pt idx="1">
                  <c:v>2055401.57</c:v>
                </c:pt>
                <c:pt idx="2">
                  <c:v>1818891.67</c:v>
                </c:pt>
                <c:pt idx="3">
                  <c:v>861472.79</c:v>
                </c:pt>
                <c:pt idx="4">
                  <c:v>781708.80000000005</c:v>
                </c:pt>
                <c:pt idx="5">
                  <c:v>595127.78</c:v>
                </c:pt>
                <c:pt idx="6">
                  <c:v>591137.81000000006</c:v>
                </c:pt>
                <c:pt idx="7">
                  <c:v>346123.35</c:v>
                </c:pt>
                <c:pt idx="8">
                  <c:v>334212.34999999998</c:v>
                </c:pt>
                <c:pt idx="9">
                  <c:v>317657.93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F-4752-8754-969756DCDD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55684687"/>
        <c:axId val="1598279679"/>
      </c:barChart>
      <c:catAx>
        <c:axId val="19556846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79679"/>
        <c:crosses val="autoZero"/>
        <c:auto val="1"/>
        <c:lblAlgn val="ctr"/>
        <c:lblOffset val="100"/>
        <c:noMultiLvlLbl val="0"/>
      </c:catAx>
      <c:valAx>
        <c:axId val="15982796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68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商品类目</a:t>
            </a:r>
            <a:r>
              <a:rPr lang="en-US" altLang="zh-CN"/>
              <a:t>GMV 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商品类目top10!$D$1</c:f>
              <c:strCache>
                <c:ptCount val="1"/>
                <c:pt idx="0">
                  <c:v>order_gmv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商品类目top10!$B$2:$B$11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商品类目top10!$D$2:$D$11</c:f>
              <c:numCache>
                <c:formatCode>General</c:formatCode>
                <c:ptCount val="10"/>
                <c:pt idx="0">
                  <c:v>1412089.53</c:v>
                </c:pt>
                <c:pt idx="1">
                  <c:v>1264333.1200000001</c:v>
                </c:pt>
                <c:pt idx="2">
                  <c:v>1225209.26</c:v>
                </c:pt>
                <c:pt idx="3">
                  <c:v>1118256.9099999999</c:v>
                </c:pt>
                <c:pt idx="4">
                  <c:v>1032723.77</c:v>
                </c:pt>
                <c:pt idx="5">
                  <c:v>880329.92</c:v>
                </c:pt>
                <c:pt idx="6">
                  <c:v>758392.25</c:v>
                </c:pt>
                <c:pt idx="7">
                  <c:v>691680.89</c:v>
                </c:pt>
                <c:pt idx="8">
                  <c:v>669454.75</c:v>
                </c:pt>
                <c:pt idx="9">
                  <c:v>567145.68000000005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5-4A42-96D1-68819D72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6775279"/>
        <c:axId val="1598282559"/>
      </c:barChart>
      <c:catAx>
        <c:axId val="20567752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82559"/>
        <c:crosses val="autoZero"/>
        <c:auto val="1"/>
        <c:lblAlgn val="ctr"/>
        <c:lblOffset val="100"/>
        <c:noMultiLvlLbl val="0"/>
      </c:catAx>
      <c:valAx>
        <c:axId val="15982825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67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RFM</a:t>
            </a:r>
            <a:r>
              <a:rPr lang="zh-CN" altLang="en-US"/>
              <a:t>客户分层结构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客户RFM分层!$B$1</c:f>
              <c:strCache>
                <c:ptCount val="1"/>
                <c:pt idx="0">
                  <c:v>客户数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14-45FB-9C70-3B2A4B0DA3E5}"/>
              </c:ext>
            </c:extLst>
          </c:dPt>
          <c:cat>
            <c:strRef>
              <c:f>客户RFM分层!$A$2:$A$6</c:f>
              <c:strCache>
                <c:ptCount val="5"/>
                <c:pt idx="0">
                  <c:v>一般客户</c:v>
                </c:pt>
                <c:pt idx="1">
                  <c:v>低价值客户</c:v>
                </c:pt>
                <c:pt idx="2">
                  <c:v>潜力客户</c:v>
                </c:pt>
                <c:pt idx="3">
                  <c:v>流失风险客户</c:v>
                </c:pt>
                <c:pt idx="4">
                  <c:v>高价值客户</c:v>
                </c:pt>
              </c:strCache>
            </c:strRef>
          </c:cat>
          <c:val>
            <c:numRef>
              <c:f>客户RFM分层!$B$2:$B$6</c:f>
              <c:numCache>
                <c:formatCode>General</c:formatCode>
                <c:ptCount val="5"/>
                <c:pt idx="0">
                  <c:v>40388</c:v>
                </c:pt>
                <c:pt idx="1">
                  <c:v>22594</c:v>
                </c:pt>
                <c:pt idx="2">
                  <c:v>15509</c:v>
                </c:pt>
                <c:pt idx="3">
                  <c:v>14750</c:v>
                </c:pt>
                <c:pt idx="4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4-45FB-9C70-3B2A4B0D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646639"/>
        <c:axId val="1598253279"/>
      </c:barChart>
      <c:catAx>
        <c:axId val="195564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53279"/>
        <c:crosses val="autoZero"/>
        <c:auto val="1"/>
        <c:lblAlgn val="ctr"/>
        <c:lblOffset val="100"/>
        <c:noMultiLvlLbl val="0"/>
      </c:catAx>
      <c:valAx>
        <c:axId val="15982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64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配送时长与用户评分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配送时长与评分!$B$1</c:f>
              <c:strCache>
                <c:ptCount val="1"/>
                <c:pt idx="0">
                  <c:v>订单数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配送时长与评分!$A$2:$A$5</c:f>
              <c:strCache>
                <c:ptCount val="4"/>
                <c:pt idx="0">
                  <c:v>7天及以内</c:v>
                </c:pt>
                <c:pt idx="1">
                  <c:v>8-14天</c:v>
                </c:pt>
                <c:pt idx="2">
                  <c:v>15-21天</c:v>
                </c:pt>
                <c:pt idx="3">
                  <c:v>超过21天</c:v>
                </c:pt>
              </c:strCache>
            </c:strRef>
          </c:cat>
          <c:val>
            <c:numRef>
              <c:f>配送时长与评分!$B$2:$B$5</c:f>
              <c:numCache>
                <c:formatCode>General</c:formatCode>
                <c:ptCount val="4"/>
                <c:pt idx="0">
                  <c:v>26046</c:v>
                </c:pt>
                <c:pt idx="1">
                  <c:v>40212</c:v>
                </c:pt>
                <c:pt idx="2">
                  <c:v>17713</c:v>
                </c:pt>
                <c:pt idx="3">
                  <c:v>12499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3-4A24-8B0D-0F4A290F8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207567"/>
        <c:axId val="1598258559"/>
      </c:barChart>
      <c:lineChart>
        <c:grouping val="standard"/>
        <c:varyColors val="0"/>
        <c:ser>
          <c:idx val="1"/>
          <c:order val="1"/>
          <c:tx>
            <c:strRef>
              <c:f>配送时长与评分!$D$1</c:f>
              <c:strCache>
                <c:ptCount val="1"/>
                <c:pt idx="0">
                  <c:v>平均评价分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配送时长与评分!$A$2:$A$5</c:f>
              <c:strCache>
                <c:ptCount val="4"/>
                <c:pt idx="0">
                  <c:v>7天及以内</c:v>
                </c:pt>
                <c:pt idx="1">
                  <c:v>8-14天</c:v>
                </c:pt>
                <c:pt idx="2">
                  <c:v>15-21天</c:v>
                </c:pt>
                <c:pt idx="3">
                  <c:v>超过21天</c:v>
                </c:pt>
              </c:strCache>
            </c:strRef>
          </c:cat>
          <c:val>
            <c:numRef>
              <c:f>配送时长与评分!$D$2:$D$5</c:f>
              <c:numCache>
                <c:formatCode>General</c:formatCode>
                <c:ptCount val="4"/>
                <c:pt idx="0">
                  <c:v>4.42</c:v>
                </c:pt>
                <c:pt idx="1">
                  <c:v>4.3099999999999996</c:v>
                </c:pt>
                <c:pt idx="2">
                  <c:v>4.1399999999999997</c:v>
                </c:pt>
                <c:pt idx="3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3-4A24-8B0D-0F4A290F8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186399"/>
        <c:axId val="1899062015"/>
      </c:lineChart>
      <c:catAx>
        <c:axId val="19922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58559"/>
        <c:crosses val="autoZero"/>
        <c:auto val="1"/>
        <c:lblAlgn val="ctr"/>
        <c:lblOffset val="100"/>
        <c:noMultiLvlLbl val="0"/>
      </c:catAx>
      <c:valAx>
        <c:axId val="159825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207567"/>
        <c:crosses val="autoZero"/>
        <c:crossBetween val="between"/>
      </c:valAx>
      <c:valAx>
        <c:axId val="18990620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6186399"/>
        <c:crosses val="max"/>
        <c:crossBetween val="between"/>
        <c:majorUnit val="1"/>
      </c:valAx>
      <c:catAx>
        <c:axId val="19961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0620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头部卖家</a:t>
            </a:r>
            <a:r>
              <a:rPr lang="en-US" altLang="zh-CN"/>
              <a:t>GMV</a:t>
            </a:r>
            <a:r>
              <a:rPr lang="zh-CN" altLang="en-US"/>
              <a:t>与累计贡献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卖家GMV集中度!$D$1</c:f>
              <c:strCache>
                <c:ptCount val="1"/>
                <c:pt idx="0">
                  <c:v>GMV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卖家GMV集中度!$A$2:$A$21</c15:sqref>
                  </c15:fullRef>
                </c:ext>
              </c:extLst>
              <c:f>卖家GMV集中度!$A$2:$A$21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卖家GMV集中度!$D$2:$D$24</c15:sqref>
                  </c15:fullRef>
                </c:ext>
              </c:extLst>
              <c:f>卖家GMV集中度!$D$2:$D$21</c:f>
              <c:numCache>
                <c:formatCode>General</c:formatCode>
                <c:ptCount val="20"/>
                <c:pt idx="0">
                  <c:v>247007.06</c:v>
                </c:pt>
                <c:pt idx="1">
                  <c:v>237806.69</c:v>
                </c:pt>
                <c:pt idx="2">
                  <c:v>231220.43</c:v>
                </c:pt>
                <c:pt idx="3">
                  <c:v>230797.02</c:v>
                </c:pt>
                <c:pt idx="4">
                  <c:v>200833.5</c:v>
                </c:pt>
                <c:pt idx="5">
                  <c:v>184706.78</c:v>
                </c:pt>
                <c:pt idx="6">
                  <c:v>171973.55</c:v>
                </c:pt>
                <c:pt idx="7">
                  <c:v>171924.96</c:v>
                </c:pt>
                <c:pt idx="8">
                  <c:v>160278.51999999999</c:v>
                </c:pt>
                <c:pt idx="9">
                  <c:v>156606.48000000001</c:v>
                </c:pt>
                <c:pt idx="10">
                  <c:v>148050.94</c:v>
                </c:pt>
                <c:pt idx="11">
                  <c:v>141712.94</c:v>
                </c:pt>
                <c:pt idx="12">
                  <c:v>134162.88</c:v>
                </c:pt>
                <c:pt idx="13">
                  <c:v>130412.74</c:v>
                </c:pt>
                <c:pt idx="14">
                  <c:v>126278.18</c:v>
                </c:pt>
                <c:pt idx="15">
                  <c:v>125936.99</c:v>
                </c:pt>
                <c:pt idx="16">
                  <c:v>124702.92</c:v>
                </c:pt>
                <c:pt idx="17">
                  <c:v>120934.47</c:v>
                </c:pt>
                <c:pt idx="18">
                  <c:v>115515.65</c:v>
                </c:pt>
                <c:pt idx="19">
                  <c:v>83031.14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3-495B-969B-04CD6DDC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214063"/>
        <c:axId val="15982484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卖家GMV集中度!$A$1</c15:sqref>
                        </c15:formulaRef>
                      </c:ext>
                    </c:extLst>
                    <c:strCache>
                      <c:ptCount val="1"/>
                      <c:pt idx="0">
                        <c:v>卖家排名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卖家GMV集中度!$A$2:$A$21</c15:sqref>
                        </c15:fullRef>
                        <c15:formulaRef>
                          <c15:sqref>卖家GMV集中度!$A$2:$A$21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卖家GMV集中度!$A$2:$A$21</c15:sqref>
                        </c15:fullRef>
                        <c15:formulaRef>
                          <c15:sqref>卖家GMV集中度!$A$2:$A$21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643-495B-969B-04CD6DDCAD5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卖家GMV集中度!$E$1</c:f>
              <c:strCache>
                <c:ptCount val="1"/>
                <c:pt idx="0">
                  <c:v>累计GMV贡献占比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卖家GMV集中度!$E$2:$E$24</c15:sqref>
                  </c15:fullRef>
                </c:ext>
              </c:extLst>
              <c:f>卖家GMV集中度!$E$2:$E$21</c:f>
              <c:numCache>
                <c:formatCode>General</c:formatCode>
                <c:ptCount val="20"/>
                <c:pt idx="0">
                  <c:v>1.6</c:v>
                </c:pt>
                <c:pt idx="1">
                  <c:v>3.14</c:v>
                </c:pt>
                <c:pt idx="2">
                  <c:v>4.6399999999999997</c:v>
                </c:pt>
                <c:pt idx="3">
                  <c:v>6.14</c:v>
                </c:pt>
                <c:pt idx="4">
                  <c:v>7.44</c:v>
                </c:pt>
                <c:pt idx="5">
                  <c:v>8.64</c:v>
                </c:pt>
                <c:pt idx="6">
                  <c:v>9.76</c:v>
                </c:pt>
                <c:pt idx="7">
                  <c:v>10.87</c:v>
                </c:pt>
                <c:pt idx="8">
                  <c:v>11.91</c:v>
                </c:pt>
                <c:pt idx="9">
                  <c:v>12.93</c:v>
                </c:pt>
                <c:pt idx="10">
                  <c:v>13.89</c:v>
                </c:pt>
                <c:pt idx="11">
                  <c:v>14.81</c:v>
                </c:pt>
                <c:pt idx="12">
                  <c:v>15.68</c:v>
                </c:pt>
                <c:pt idx="13">
                  <c:v>16.52</c:v>
                </c:pt>
                <c:pt idx="14">
                  <c:v>17.34</c:v>
                </c:pt>
                <c:pt idx="15">
                  <c:v>18.16</c:v>
                </c:pt>
                <c:pt idx="16">
                  <c:v>18.97</c:v>
                </c:pt>
                <c:pt idx="17">
                  <c:v>19.75</c:v>
                </c:pt>
                <c:pt idx="18">
                  <c:v>20.5</c:v>
                </c:pt>
                <c:pt idx="19">
                  <c:v>21.04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43-495B-969B-04CD6DDC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721343"/>
        <c:axId val="1879977375"/>
      </c:lineChart>
      <c:catAx>
        <c:axId val="199221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248479"/>
        <c:crosses val="autoZero"/>
        <c:auto val="1"/>
        <c:lblAlgn val="ctr"/>
        <c:lblOffset val="100"/>
        <c:noMultiLvlLbl val="0"/>
      </c:catAx>
      <c:valAx>
        <c:axId val="15982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214063"/>
        <c:crosses val="autoZero"/>
        <c:crossBetween val="between"/>
      </c:valAx>
      <c:valAx>
        <c:axId val="18799773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721343"/>
        <c:crosses val="max"/>
        <c:crossBetween val="between"/>
      </c:valAx>
      <c:catAx>
        <c:axId val="1955721343"/>
        <c:scaling>
          <c:orientation val="minMax"/>
        </c:scaling>
        <c:delete val="1"/>
        <c:axPos val="b"/>
        <c:majorTickMark val="out"/>
        <c:minorTickMark val="none"/>
        <c:tickLblPos val="nextTo"/>
        <c:crossAx val="18799773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1F2CE1C-ECF2-44D2-B736-E9A0E343C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6</xdr:col>
      <xdr:colOff>457200</xdr:colOff>
      <xdr:row>33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C99D65A-8CE7-4006-8858-A818D9569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457200</xdr:colOff>
      <xdr:row>50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A22276E-4757-4C29-A630-C88904993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13</xdr:col>
      <xdr:colOff>457200</xdr:colOff>
      <xdr:row>16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1E08022-6E7E-4748-A6BB-051FFC497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457200</xdr:colOff>
      <xdr:row>33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203FE9E-4F75-42C3-8FB4-3D7967FA7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13</xdr:col>
      <xdr:colOff>457200</xdr:colOff>
      <xdr:row>50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0A2180C-C7B8-4C38-8F71-7C0B56D3B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1214437</xdr:colOff>
      <xdr:row>10</xdr:row>
      <xdr:rowOff>90487</xdr:rowOff>
    </xdr:from>
    <xdr:to>
      <xdr:col>5</xdr:col>
      <xdr:colOff>642937</xdr:colOff>
      <xdr:row>26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078176-C455-3F9D-03A6-66026E302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0</xdr:row>
      <xdr:rowOff>52387</xdr:rowOff>
    </xdr:from>
    <xdr:to>
      <xdr:col>12</xdr:col>
      <xdr:colOff>509587</xdr:colOff>
      <xdr:row>14</xdr:row>
      <xdr:rowOff>52387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D4E3BCB-E75F-1B31-0A6D-5A19158FB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</xdr:colOff>
      <xdr:row>2</xdr:row>
      <xdr:rowOff>52387</xdr:rowOff>
    </xdr:from>
    <xdr:to>
      <xdr:col>12</xdr:col>
      <xdr:colOff>528637</xdr:colOff>
      <xdr:row>10</xdr:row>
      <xdr:rowOff>52387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510F596-D767-3B9C-F4BE-5D313771E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11</xdr:row>
      <xdr:rowOff>66675</xdr:rowOff>
    </xdr:from>
    <xdr:to>
      <xdr:col>6</xdr:col>
      <xdr:colOff>409575</xdr:colOff>
      <xdr:row>27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636B30-8D78-3156-2743-B26558ACB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11</xdr:row>
      <xdr:rowOff>90487</xdr:rowOff>
    </xdr:from>
    <xdr:to>
      <xdr:col>7</xdr:col>
      <xdr:colOff>104775</xdr:colOff>
      <xdr:row>27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FAF9849-7DB1-0035-AAAD-ADFBF0BF8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</xdr:row>
      <xdr:rowOff>90487</xdr:rowOff>
    </xdr:from>
    <xdr:to>
      <xdr:col>4</xdr:col>
      <xdr:colOff>466725</xdr:colOff>
      <xdr:row>6</xdr:row>
      <xdr:rowOff>261937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1ABCC30-7E42-E39E-DDC1-5862E6C81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5565-7D8F-4F42-AF2D-11994EBD572A}">
  <dimension ref="A1"/>
  <sheetViews>
    <sheetView tabSelected="1" topLeftCell="B25" workbookViewId="0">
      <selection activeCell="G55" sqref="G55"/>
    </sheetView>
  </sheetViews>
  <sheetFormatPr defaultRowHeight="13.5" x14ac:dyDescent="0.15"/>
  <sheetData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I9" sqref="I9"/>
    </sheetView>
  </sheetViews>
  <sheetFormatPr defaultColWidth="9" defaultRowHeight="13.5" x14ac:dyDescent="0.15"/>
  <cols>
    <col min="1" max="1" width="10.75" customWidth="1"/>
    <col min="2" max="2" width="20.75" customWidth="1"/>
    <col min="3" max="3" width="17.25" customWidth="1"/>
    <col min="4" max="4" width="20.5" customWidth="1"/>
  </cols>
  <sheetData>
    <row r="1" spans="1:4" ht="27" x14ac:dyDescent="0.15">
      <c r="A1" s="1" t="s">
        <v>0</v>
      </c>
      <c r="B1" s="1" t="s">
        <v>90</v>
      </c>
      <c r="C1" s="1" t="s">
        <v>91</v>
      </c>
      <c r="D1" s="1" t="s">
        <v>3</v>
      </c>
    </row>
    <row r="2" spans="1:4" x14ac:dyDescent="0.15">
      <c r="A2" s="2">
        <v>42614</v>
      </c>
      <c r="B2" s="3">
        <v>1</v>
      </c>
      <c r="C2" s="3">
        <v>143.46</v>
      </c>
      <c r="D2" s="3">
        <v>143.46</v>
      </c>
    </row>
    <row r="3" spans="1:4" x14ac:dyDescent="0.15">
      <c r="A3" s="2">
        <v>42644</v>
      </c>
      <c r="B3" s="3">
        <v>265</v>
      </c>
      <c r="C3" s="3">
        <v>46490.66</v>
      </c>
      <c r="D3" s="3">
        <v>175.44</v>
      </c>
    </row>
    <row r="4" spans="1:4" x14ac:dyDescent="0.15">
      <c r="A4" s="2">
        <v>42705</v>
      </c>
      <c r="B4" s="3">
        <v>1</v>
      </c>
      <c r="C4" s="3">
        <v>19.62</v>
      </c>
      <c r="D4" s="3">
        <v>19.62</v>
      </c>
    </row>
    <row r="5" spans="1:4" x14ac:dyDescent="0.15">
      <c r="A5" s="2">
        <v>42736</v>
      </c>
      <c r="B5" s="3">
        <v>750</v>
      </c>
      <c r="C5" s="3">
        <v>127482.37</v>
      </c>
      <c r="D5" s="3">
        <v>169.98</v>
      </c>
    </row>
    <row r="6" spans="1:4" x14ac:dyDescent="0.15">
      <c r="A6" s="2">
        <v>42767</v>
      </c>
      <c r="B6" s="3">
        <v>1653</v>
      </c>
      <c r="C6" s="3">
        <v>271239.32</v>
      </c>
      <c r="D6" s="3">
        <v>164.09</v>
      </c>
    </row>
    <row r="7" spans="1:4" x14ac:dyDescent="0.15">
      <c r="A7" s="2">
        <v>42795</v>
      </c>
      <c r="B7" s="3">
        <v>2546</v>
      </c>
      <c r="C7" s="3">
        <v>414330.95</v>
      </c>
      <c r="D7" s="3">
        <v>162.74</v>
      </c>
    </row>
    <row r="8" spans="1:4" x14ac:dyDescent="0.15">
      <c r="A8" s="2">
        <v>42826</v>
      </c>
      <c r="B8" s="3">
        <v>2303</v>
      </c>
      <c r="C8" s="3">
        <v>390812.4</v>
      </c>
      <c r="D8" s="3">
        <v>169.7</v>
      </c>
    </row>
    <row r="9" spans="1:4" x14ac:dyDescent="0.15">
      <c r="A9" s="2">
        <v>42856</v>
      </c>
      <c r="B9" s="3">
        <v>3546</v>
      </c>
      <c r="C9" s="3">
        <v>566851.4</v>
      </c>
      <c r="D9" s="3">
        <v>159.86000000000001</v>
      </c>
    </row>
    <row r="10" spans="1:4" x14ac:dyDescent="0.15">
      <c r="A10" s="2">
        <v>42887</v>
      </c>
      <c r="B10" s="3">
        <v>3135</v>
      </c>
      <c r="C10" s="3">
        <v>490050.37</v>
      </c>
      <c r="D10" s="3">
        <v>156.32</v>
      </c>
    </row>
    <row r="11" spans="1:4" x14ac:dyDescent="0.15">
      <c r="A11" s="2">
        <v>42917</v>
      </c>
      <c r="B11" s="3">
        <v>3872</v>
      </c>
      <c r="C11" s="3">
        <v>566299.07999999996</v>
      </c>
      <c r="D11" s="3">
        <v>146.25</v>
      </c>
    </row>
    <row r="12" spans="1:4" x14ac:dyDescent="0.15">
      <c r="A12" s="2">
        <v>42948</v>
      </c>
      <c r="B12" s="3">
        <v>4193</v>
      </c>
      <c r="C12" s="3">
        <v>645832.36</v>
      </c>
      <c r="D12" s="3">
        <v>154.03</v>
      </c>
    </row>
    <row r="13" spans="1:4" x14ac:dyDescent="0.15">
      <c r="A13" s="2">
        <v>42979</v>
      </c>
      <c r="B13" s="3">
        <v>4150</v>
      </c>
      <c r="C13" s="3">
        <v>701077.49</v>
      </c>
      <c r="D13" s="3">
        <v>168.93</v>
      </c>
    </row>
    <row r="14" spans="1:4" x14ac:dyDescent="0.15">
      <c r="A14" s="2">
        <v>43009</v>
      </c>
      <c r="B14" s="3">
        <v>4478</v>
      </c>
      <c r="C14" s="3">
        <v>751117.01</v>
      </c>
      <c r="D14" s="3">
        <v>167.73</v>
      </c>
    </row>
    <row r="15" spans="1:4" x14ac:dyDescent="0.15">
      <c r="A15" s="2">
        <v>43040</v>
      </c>
      <c r="B15" s="3">
        <v>7289</v>
      </c>
      <c r="C15" s="3">
        <v>1153364.2</v>
      </c>
      <c r="D15" s="3">
        <v>158.22999999999999</v>
      </c>
    </row>
    <row r="16" spans="1:4" x14ac:dyDescent="0.15">
      <c r="A16" s="2">
        <v>43070</v>
      </c>
      <c r="B16" s="3">
        <v>5513</v>
      </c>
      <c r="C16" s="3">
        <v>843078.29</v>
      </c>
      <c r="D16" s="3">
        <v>152.93</v>
      </c>
    </row>
    <row r="17" spans="1:4" x14ac:dyDescent="0.15">
      <c r="A17" s="2">
        <v>43101</v>
      </c>
      <c r="B17" s="3">
        <v>7069</v>
      </c>
      <c r="C17" s="3">
        <v>1077887.46</v>
      </c>
      <c r="D17" s="3">
        <v>152.47999999999999</v>
      </c>
    </row>
    <row r="18" spans="1:4" x14ac:dyDescent="0.15">
      <c r="A18" s="2">
        <v>43132</v>
      </c>
      <c r="B18" s="3">
        <v>6555</v>
      </c>
      <c r="C18" s="3">
        <v>966168.41</v>
      </c>
      <c r="D18" s="3">
        <v>147.38999999999999</v>
      </c>
    </row>
    <row r="19" spans="1:4" x14ac:dyDescent="0.15">
      <c r="A19" s="2">
        <v>43160</v>
      </c>
      <c r="B19" s="3">
        <v>7003</v>
      </c>
      <c r="C19" s="3">
        <v>1120598.24</v>
      </c>
      <c r="D19" s="3">
        <v>160.02000000000001</v>
      </c>
    </row>
    <row r="20" spans="1:4" x14ac:dyDescent="0.15">
      <c r="A20" s="2">
        <v>43191</v>
      </c>
      <c r="B20" s="3">
        <v>6798</v>
      </c>
      <c r="C20" s="3">
        <v>1132878.93</v>
      </c>
      <c r="D20" s="3">
        <v>166.65</v>
      </c>
    </row>
    <row r="21" spans="1:4" x14ac:dyDescent="0.15">
      <c r="A21" s="2">
        <v>43221</v>
      </c>
      <c r="B21" s="3">
        <v>6749</v>
      </c>
      <c r="C21" s="3">
        <v>1128774.52</v>
      </c>
      <c r="D21" s="3">
        <v>167.25</v>
      </c>
    </row>
    <row r="22" spans="1:4" x14ac:dyDescent="0.15">
      <c r="A22" s="2">
        <v>43252</v>
      </c>
      <c r="B22" s="3">
        <v>6099</v>
      </c>
      <c r="C22" s="3">
        <v>1011978.29</v>
      </c>
      <c r="D22" s="3">
        <v>165.93</v>
      </c>
    </row>
    <row r="23" spans="1:4" x14ac:dyDescent="0.15">
      <c r="A23" s="2">
        <v>43282</v>
      </c>
      <c r="B23" s="3">
        <v>6159</v>
      </c>
      <c r="C23" s="3">
        <v>1027807.28</v>
      </c>
      <c r="D23" s="3">
        <v>166.88</v>
      </c>
    </row>
    <row r="24" spans="1:4" x14ac:dyDescent="0.15">
      <c r="A24" s="2">
        <v>43313</v>
      </c>
      <c r="B24" s="3">
        <v>6351</v>
      </c>
      <c r="C24" s="3">
        <v>985491.64</v>
      </c>
      <c r="D24" s="3">
        <v>155.16999999999999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L14" sqref="L14"/>
    </sheetView>
  </sheetViews>
  <sheetFormatPr defaultColWidth="9" defaultRowHeight="13.5" x14ac:dyDescent="0.15"/>
  <cols>
    <col min="1" max="2" width="8.5" bestFit="1" customWidth="1"/>
    <col min="3" max="3" width="11.625" bestFit="1" customWidth="1"/>
    <col min="4" max="4" width="10.5" bestFit="1" customWidth="1"/>
    <col min="5" max="5" width="11.625" bestFit="1" customWidth="1"/>
    <col min="6" max="6" width="8.5" bestFit="1" customWidth="1"/>
  </cols>
  <sheetData>
    <row r="1" spans="1:6" ht="40.5" x14ac:dyDescent="0.15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3</v>
      </c>
    </row>
    <row r="2" spans="1:6" x14ac:dyDescent="0.15">
      <c r="A2" s="3" t="s">
        <v>8</v>
      </c>
      <c r="B2" s="3">
        <v>40501</v>
      </c>
      <c r="C2" s="3">
        <v>5067633.16</v>
      </c>
      <c r="D2" s="3">
        <v>702069.99</v>
      </c>
      <c r="E2" s="3">
        <v>5769703.1500000004</v>
      </c>
      <c r="F2" s="3">
        <v>142.46</v>
      </c>
    </row>
    <row r="3" spans="1:6" x14ac:dyDescent="0.15">
      <c r="A3" s="3" t="s">
        <v>9</v>
      </c>
      <c r="B3" s="3">
        <v>12350</v>
      </c>
      <c r="C3" s="3">
        <v>1759651.13</v>
      </c>
      <c r="D3" s="3">
        <v>295750.44</v>
      </c>
      <c r="E3" s="3">
        <v>2055401.57</v>
      </c>
      <c r="F3" s="3">
        <v>166.43</v>
      </c>
    </row>
    <row r="4" spans="1:6" x14ac:dyDescent="0.15">
      <c r="A4" s="3" t="s">
        <v>10</v>
      </c>
      <c r="B4" s="3">
        <v>11354</v>
      </c>
      <c r="C4" s="3">
        <v>1552481.83</v>
      </c>
      <c r="D4" s="3">
        <v>266409.84000000003</v>
      </c>
      <c r="E4" s="3">
        <v>1818891.67</v>
      </c>
      <c r="F4" s="3">
        <v>160.19999999999999</v>
      </c>
    </row>
    <row r="5" spans="1:6" x14ac:dyDescent="0.15">
      <c r="A5" s="3" t="s">
        <v>11</v>
      </c>
      <c r="B5" s="3">
        <v>5345</v>
      </c>
      <c r="C5" s="3">
        <v>728897.47</v>
      </c>
      <c r="D5" s="3">
        <v>132575.32</v>
      </c>
      <c r="E5" s="3">
        <v>861472.79</v>
      </c>
      <c r="F5" s="3">
        <v>161.16999999999999</v>
      </c>
    </row>
    <row r="6" spans="1:6" x14ac:dyDescent="0.15">
      <c r="A6" s="3" t="s">
        <v>12</v>
      </c>
      <c r="B6" s="3">
        <v>4923</v>
      </c>
      <c r="C6" s="3">
        <v>666063.51</v>
      </c>
      <c r="D6" s="3">
        <v>115645.29</v>
      </c>
      <c r="E6" s="3">
        <v>781708.80000000005</v>
      </c>
      <c r="F6" s="3">
        <v>158.79</v>
      </c>
    </row>
    <row r="7" spans="1:6" x14ac:dyDescent="0.15">
      <c r="A7" s="3" t="s">
        <v>13</v>
      </c>
      <c r="B7" s="3">
        <v>3546</v>
      </c>
      <c r="C7" s="3">
        <v>507012.13</v>
      </c>
      <c r="D7" s="3">
        <v>88115.65</v>
      </c>
      <c r="E7" s="3">
        <v>595127.78</v>
      </c>
      <c r="F7" s="3">
        <v>167.83</v>
      </c>
    </row>
    <row r="8" spans="1:6" x14ac:dyDescent="0.15">
      <c r="A8" s="3" t="s">
        <v>14</v>
      </c>
      <c r="B8" s="3">
        <v>3256</v>
      </c>
      <c r="C8" s="3">
        <v>493584.14</v>
      </c>
      <c r="D8" s="3">
        <v>97553.67</v>
      </c>
      <c r="E8" s="3">
        <v>591137.81000000006</v>
      </c>
      <c r="F8" s="3">
        <v>181.55</v>
      </c>
    </row>
    <row r="9" spans="1:6" x14ac:dyDescent="0.15">
      <c r="A9" s="3" t="s">
        <v>15</v>
      </c>
      <c r="B9" s="3">
        <v>2080</v>
      </c>
      <c r="C9" s="3">
        <v>296498.40999999997</v>
      </c>
      <c r="D9" s="3">
        <v>49624.94</v>
      </c>
      <c r="E9" s="3">
        <v>346123.35</v>
      </c>
      <c r="F9" s="3">
        <v>166.41</v>
      </c>
    </row>
    <row r="10" spans="1:6" x14ac:dyDescent="0.15">
      <c r="A10" s="3" t="s">
        <v>16</v>
      </c>
      <c r="B10" s="3">
        <v>1957</v>
      </c>
      <c r="C10" s="3">
        <v>282836.7</v>
      </c>
      <c r="D10" s="3">
        <v>51375.65</v>
      </c>
      <c r="E10" s="3">
        <v>334212.34999999998</v>
      </c>
      <c r="F10" s="3">
        <v>170.78</v>
      </c>
    </row>
    <row r="11" spans="1:6" x14ac:dyDescent="0.15">
      <c r="A11" s="3" t="s">
        <v>17</v>
      </c>
      <c r="B11" s="3">
        <v>1995</v>
      </c>
      <c r="C11" s="3">
        <v>268643.45</v>
      </c>
      <c r="D11" s="3">
        <v>49014.48</v>
      </c>
      <c r="E11" s="3">
        <v>317657.93</v>
      </c>
      <c r="F11" s="3">
        <v>159.22999999999999</v>
      </c>
    </row>
    <row r="12" spans="1:6" x14ac:dyDescent="0.15">
      <c r="A12" s="3" t="s">
        <v>18</v>
      </c>
      <c r="B12" s="3">
        <v>1593</v>
      </c>
      <c r="C12" s="3">
        <v>251889.49</v>
      </c>
      <c r="D12" s="3">
        <v>57082.559999999998</v>
      </c>
      <c r="E12" s="3">
        <v>308972.05</v>
      </c>
      <c r="F12" s="3">
        <v>193.96</v>
      </c>
    </row>
    <row r="13" spans="1:6" x14ac:dyDescent="0.15">
      <c r="A13" s="3" t="s">
        <v>19</v>
      </c>
      <c r="B13" s="3">
        <v>1279</v>
      </c>
      <c r="C13" s="3">
        <v>219757.38</v>
      </c>
      <c r="D13" s="3">
        <v>46679.39</v>
      </c>
      <c r="E13" s="3">
        <v>266436.77</v>
      </c>
      <c r="F13" s="3">
        <v>208.32</v>
      </c>
    </row>
    <row r="14" spans="1:6" x14ac:dyDescent="0.15">
      <c r="A14" s="3" t="s">
        <v>20</v>
      </c>
      <c r="B14" s="3">
        <v>946</v>
      </c>
      <c r="C14" s="3">
        <v>174470.59</v>
      </c>
      <c r="D14" s="3">
        <v>37552.980000000003</v>
      </c>
      <c r="E14" s="3">
        <v>212023.57</v>
      </c>
      <c r="F14" s="3">
        <v>224.13</v>
      </c>
    </row>
    <row r="15" spans="1:6" x14ac:dyDescent="0.15">
      <c r="A15" s="3" t="s">
        <v>21</v>
      </c>
      <c r="B15" s="3">
        <v>886</v>
      </c>
      <c r="C15" s="3">
        <v>152191.62</v>
      </c>
      <c r="D15" s="3">
        <v>29032.799999999999</v>
      </c>
      <c r="E15" s="3">
        <v>181224.42</v>
      </c>
      <c r="F15" s="3">
        <v>204.54</v>
      </c>
    </row>
    <row r="16" spans="1:6" x14ac:dyDescent="0.15">
      <c r="A16" s="3" t="s">
        <v>22</v>
      </c>
      <c r="B16" s="3">
        <v>717</v>
      </c>
      <c r="C16" s="3">
        <v>117009.38</v>
      </c>
      <c r="D16" s="3">
        <v>30794.17</v>
      </c>
      <c r="E16" s="3">
        <v>147803.54999999999</v>
      </c>
      <c r="F16" s="3">
        <v>206.14</v>
      </c>
    </row>
    <row r="17" spans="1:6" x14ac:dyDescent="0.15">
      <c r="A17" s="3" t="s">
        <v>23</v>
      </c>
      <c r="B17" s="3">
        <v>517</v>
      </c>
      <c r="C17" s="3">
        <v>112586.82</v>
      </c>
      <c r="D17" s="3">
        <v>25251.73</v>
      </c>
      <c r="E17" s="3">
        <v>137838.54999999999</v>
      </c>
      <c r="F17" s="3">
        <v>266.61</v>
      </c>
    </row>
    <row r="18" spans="1:6" x14ac:dyDescent="0.15">
      <c r="A18" s="3" t="s">
        <v>24</v>
      </c>
      <c r="B18" s="3">
        <v>701</v>
      </c>
      <c r="C18" s="3">
        <v>115429.97</v>
      </c>
      <c r="D18" s="3">
        <v>18937.580000000002</v>
      </c>
      <c r="E18" s="3">
        <v>134367.54999999999</v>
      </c>
      <c r="F18" s="3">
        <v>191.68</v>
      </c>
    </row>
    <row r="19" spans="1:6" x14ac:dyDescent="0.15">
      <c r="A19" s="3" t="s">
        <v>25</v>
      </c>
      <c r="B19" s="3">
        <v>476</v>
      </c>
      <c r="C19" s="3">
        <v>84721</v>
      </c>
      <c r="D19" s="3">
        <v>20457.189999999999</v>
      </c>
      <c r="E19" s="3">
        <v>105178.19</v>
      </c>
      <c r="F19" s="3">
        <v>220.96</v>
      </c>
    </row>
    <row r="20" spans="1:6" x14ac:dyDescent="0.15">
      <c r="A20" s="3" t="s">
        <v>26</v>
      </c>
      <c r="B20" s="3">
        <v>474</v>
      </c>
      <c r="C20" s="3">
        <v>82105.66</v>
      </c>
      <c r="D20" s="3">
        <v>18609.12</v>
      </c>
      <c r="E20" s="3">
        <v>100714.78</v>
      </c>
      <c r="F20" s="3">
        <v>212.48</v>
      </c>
    </row>
    <row r="21" spans="1:6" x14ac:dyDescent="0.15">
      <c r="A21" s="3" t="s">
        <v>27</v>
      </c>
      <c r="B21" s="3">
        <v>397</v>
      </c>
      <c r="C21" s="3">
        <v>78855.72</v>
      </c>
      <c r="D21" s="3">
        <v>15316.77</v>
      </c>
      <c r="E21" s="3">
        <v>94172.49</v>
      </c>
      <c r="F21" s="3">
        <v>237.21</v>
      </c>
    </row>
    <row r="22" spans="1:6" x14ac:dyDescent="0.15">
      <c r="A22" s="3" t="s">
        <v>28</v>
      </c>
      <c r="B22" s="3">
        <v>335</v>
      </c>
      <c r="C22" s="3">
        <v>56574.19</v>
      </c>
      <c r="D22" s="3">
        <v>13714.94</v>
      </c>
      <c r="E22" s="3">
        <v>70289.13</v>
      </c>
      <c r="F22" s="3">
        <v>209.82</v>
      </c>
    </row>
    <row r="23" spans="1:6" x14ac:dyDescent="0.15">
      <c r="A23" s="3" t="s">
        <v>29</v>
      </c>
      <c r="B23" s="3">
        <v>274</v>
      </c>
      <c r="C23" s="3">
        <v>48402.51</v>
      </c>
      <c r="D23" s="3">
        <v>11604.86</v>
      </c>
      <c r="E23" s="3">
        <v>60007.37</v>
      </c>
      <c r="F23" s="3">
        <v>219</v>
      </c>
    </row>
    <row r="24" spans="1:6" x14ac:dyDescent="0.15">
      <c r="A24" s="3" t="s">
        <v>30</v>
      </c>
      <c r="B24" s="3">
        <v>243</v>
      </c>
      <c r="C24" s="3">
        <v>45682.76</v>
      </c>
      <c r="D24" s="3">
        <v>11283.24</v>
      </c>
      <c r="E24" s="3">
        <v>56966</v>
      </c>
      <c r="F24" s="3">
        <v>234.43</v>
      </c>
    </row>
    <row r="25" spans="1:6" x14ac:dyDescent="0.15">
      <c r="A25" s="3" t="s">
        <v>31</v>
      </c>
      <c r="B25" s="3">
        <v>145</v>
      </c>
      <c r="C25" s="3">
        <v>22155.84</v>
      </c>
      <c r="D25" s="3">
        <v>5429.63</v>
      </c>
      <c r="E25" s="3">
        <v>27585.47</v>
      </c>
      <c r="F25" s="3">
        <v>190.24</v>
      </c>
    </row>
    <row r="26" spans="1:6" x14ac:dyDescent="0.15">
      <c r="A26" s="3" t="s">
        <v>32</v>
      </c>
      <c r="B26" s="3">
        <v>80</v>
      </c>
      <c r="C26" s="3">
        <v>15930.97</v>
      </c>
      <c r="D26" s="3">
        <v>3644.36</v>
      </c>
      <c r="E26" s="3">
        <v>19575.330000000002</v>
      </c>
      <c r="F26" s="3">
        <v>244.69</v>
      </c>
    </row>
    <row r="27" spans="1:6" x14ac:dyDescent="0.15">
      <c r="A27" s="3" t="s">
        <v>33</v>
      </c>
      <c r="B27" s="3">
        <v>67</v>
      </c>
      <c r="C27" s="3">
        <v>13374.81</v>
      </c>
      <c r="D27" s="3">
        <v>2767</v>
      </c>
      <c r="E27" s="3">
        <v>16141.81</v>
      </c>
      <c r="F27" s="3">
        <v>240.92</v>
      </c>
    </row>
    <row r="28" spans="1:6" x14ac:dyDescent="0.15">
      <c r="A28" s="3" t="s">
        <v>34</v>
      </c>
      <c r="B28" s="3">
        <v>41</v>
      </c>
      <c r="C28" s="3">
        <v>7057.47</v>
      </c>
      <c r="D28" s="3">
        <v>1982.05</v>
      </c>
      <c r="E28" s="3">
        <v>9039.52</v>
      </c>
      <c r="F28" s="3">
        <v>220.48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P14" sqref="P14"/>
    </sheetView>
  </sheetViews>
  <sheetFormatPr defaultColWidth="9" defaultRowHeight="13.5" x14ac:dyDescent="0.15"/>
  <cols>
    <col min="1" max="1" width="11.5" customWidth="1"/>
    <col min="2" max="2" width="15.5" customWidth="1"/>
    <col min="3" max="3" width="16.75" customWidth="1"/>
  </cols>
  <sheetData>
    <row r="1" spans="1:4" ht="40.5" x14ac:dyDescent="0.15">
      <c r="A1" s="1" t="s">
        <v>35</v>
      </c>
      <c r="B1" s="1" t="s">
        <v>36</v>
      </c>
      <c r="C1" s="1" t="s">
        <v>1</v>
      </c>
      <c r="D1" s="1" t="s">
        <v>2</v>
      </c>
    </row>
    <row r="2" spans="1:4" ht="27" x14ac:dyDescent="0.15">
      <c r="A2" s="3">
        <v>1</v>
      </c>
      <c r="B2" s="3" t="s">
        <v>37</v>
      </c>
      <c r="C2" s="3">
        <v>8647</v>
      </c>
      <c r="D2" s="3">
        <v>1412089.53</v>
      </c>
    </row>
    <row r="3" spans="1:4" ht="27" x14ac:dyDescent="0.15">
      <c r="A3" s="3">
        <v>2</v>
      </c>
      <c r="B3" s="3" t="s">
        <v>38</v>
      </c>
      <c r="C3" s="3">
        <v>5495</v>
      </c>
      <c r="D3" s="3">
        <v>1264333.1200000001</v>
      </c>
    </row>
    <row r="4" spans="1:4" ht="27" x14ac:dyDescent="0.15">
      <c r="A4" s="3">
        <v>3</v>
      </c>
      <c r="B4" s="3" t="s">
        <v>39</v>
      </c>
      <c r="C4" s="3">
        <v>9272</v>
      </c>
      <c r="D4" s="3">
        <v>1225209.26</v>
      </c>
    </row>
    <row r="5" spans="1:4" ht="27" x14ac:dyDescent="0.15">
      <c r="A5" s="3">
        <v>4</v>
      </c>
      <c r="B5" s="3" t="s">
        <v>40</v>
      </c>
      <c r="C5" s="3">
        <v>7530</v>
      </c>
      <c r="D5" s="3">
        <v>1118256.9099999999</v>
      </c>
    </row>
    <row r="6" spans="1:4" ht="40.5" x14ac:dyDescent="0.15">
      <c r="A6" s="3">
        <v>5</v>
      </c>
      <c r="B6" s="3" t="s">
        <v>41</v>
      </c>
      <c r="C6" s="3">
        <v>6530</v>
      </c>
      <c r="D6" s="3">
        <v>1032723.77</v>
      </c>
    </row>
    <row r="7" spans="1:4" ht="27" x14ac:dyDescent="0.15">
      <c r="A7" s="3">
        <v>6</v>
      </c>
      <c r="B7" s="3" t="s">
        <v>42</v>
      </c>
      <c r="C7" s="3">
        <v>6307</v>
      </c>
      <c r="D7" s="3">
        <v>880329.92</v>
      </c>
    </row>
    <row r="8" spans="1:4" ht="27" x14ac:dyDescent="0.15">
      <c r="A8" s="3">
        <v>7</v>
      </c>
      <c r="B8" s="3" t="s">
        <v>43</v>
      </c>
      <c r="C8" s="3">
        <v>5743</v>
      </c>
      <c r="D8" s="3">
        <v>758392.25</v>
      </c>
    </row>
    <row r="9" spans="1:4" ht="27" x14ac:dyDescent="0.15">
      <c r="A9" s="3">
        <v>8</v>
      </c>
      <c r="B9" s="3" t="s">
        <v>44</v>
      </c>
      <c r="C9" s="3">
        <v>3559</v>
      </c>
      <c r="D9" s="3">
        <v>691680.89</v>
      </c>
    </row>
    <row r="10" spans="1:4" x14ac:dyDescent="0.15">
      <c r="A10" s="3">
        <v>9</v>
      </c>
      <c r="B10" s="3" t="s">
        <v>45</v>
      </c>
      <c r="C10" s="3">
        <v>3810</v>
      </c>
      <c r="D10" s="3">
        <v>669454.75</v>
      </c>
    </row>
    <row r="11" spans="1:4" ht="27" x14ac:dyDescent="0.15">
      <c r="A11" s="3">
        <v>10</v>
      </c>
      <c r="B11" s="3" t="s">
        <v>46</v>
      </c>
      <c r="C11" s="3">
        <v>3448</v>
      </c>
      <c r="D11" s="3">
        <v>567145.68000000005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BCE-F143-4573-8460-9D484D8D77D2}">
  <dimension ref="A1:E6"/>
  <sheetViews>
    <sheetView topLeftCell="A4" workbookViewId="0">
      <selection activeCell="F33" sqref="F33"/>
    </sheetView>
  </sheetViews>
  <sheetFormatPr defaultRowHeight="13.5" x14ac:dyDescent="0.15"/>
  <cols>
    <col min="1" max="1" width="13.875" customWidth="1"/>
    <col min="3" max="3" width="16.875" customWidth="1"/>
    <col min="4" max="5" width="13.5" customWidth="1"/>
  </cols>
  <sheetData>
    <row r="1" spans="1:5" ht="27" x14ac:dyDescent="0.1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15">
      <c r="A2" s="3" t="s">
        <v>52</v>
      </c>
      <c r="B2" s="3">
        <v>40388</v>
      </c>
      <c r="C2" s="3">
        <v>199.4</v>
      </c>
      <c r="D2" s="3">
        <v>1.02</v>
      </c>
      <c r="E2" s="3">
        <v>111.58</v>
      </c>
    </row>
    <row r="3" spans="1:5" x14ac:dyDescent="0.15">
      <c r="A3" s="3" t="s">
        <v>53</v>
      </c>
      <c r="B3" s="3">
        <v>22594</v>
      </c>
      <c r="C3" s="3">
        <v>445</v>
      </c>
      <c r="D3" s="3">
        <v>1</v>
      </c>
      <c r="E3" s="3">
        <v>72.69</v>
      </c>
    </row>
    <row r="4" spans="1:5" x14ac:dyDescent="0.15">
      <c r="A4" s="3" t="s">
        <v>54</v>
      </c>
      <c r="B4" s="3">
        <v>15509</v>
      </c>
      <c r="C4" s="3">
        <v>140.69999999999999</v>
      </c>
      <c r="D4" s="3">
        <v>1.07</v>
      </c>
      <c r="E4" s="3">
        <v>302.23</v>
      </c>
    </row>
    <row r="5" spans="1:5" x14ac:dyDescent="0.15">
      <c r="A5" s="3" t="s">
        <v>55</v>
      </c>
      <c r="B5" s="3">
        <v>14750</v>
      </c>
      <c r="C5" s="3">
        <v>442.7</v>
      </c>
      <c r="D5" s="3">
        <v>1.07</v>
      </c>
      <c r="E5" s="3">
        <v>306.2</v>
      </c>
    </row>
    <row r="6" spans="1:5" x14ac:dyDescent="0.15">
      <c r="A6" s="3" t="s">
        <v>56</v>
      </c>
      <c r="B6" s="3">
        <v>117</v>
      </c>
      <c r="C6" s="3">
        <v>140.9</v>
      </c>
      <c r="D6" s="3">
        <v>3.55</v>
      </c>
      <c r="E6" s="3">
        <v>572.04999999999995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6E18-C65A-4600-903F-A093E495C2A5}">
  <dimension ref="A1:D5"/>
  <sheetViews>
    <sheetView workbookViewId="0">
      <selection activeCell="H33" sqref="H33"/>
    </sheetView>
  </sheetViews>
  <sheetFormatPr defaultRowHeight="13.5" x14ac:dyDescent="0.15"/>
  <cols>
    <col min="1" max="1" width="13.5" customWidth="1"/>
  </cols>
  <sheetData>
    <row r="1" spans="1:4" ht="27" x14ac:dyDescent="0.15">
      <c r="A1" s="1" t="s">
        <v>57</v>
      </c>
      <c r="B1" s="1" t="s">
        <v>58</v>
      </c>
      <c r="C1" s="1" t="s">
        <v>59</v>
      </c>
      <c r="D1" s="1" t="s">
        <v>60</v>
      </c>
    </row>
    <row r="2" spans="1:4" x14ac:dyDescent="0.15">
      <c r="A2" s="3" t="s">
        <v>61</v>
      </c>
      <c r="B2" s="3">
        <v>26046</v>
      </c>
      <c r="C2" s="3">
        <v>4.66</v>
      </c>
      <c r="D2" s="3">
        <v>4.42</v>
      </c>
    </row>
    <row r="3" spans="1:4" x14ac:dyDescent="0.15">
      <c r="A3" s="3" t="s">
        <v>62</v>
      </c>
      <c r="B3" s="3">
        <v>40212</v>
      </c>
      <c r="C3" s="3">
        <v>10.09</v>
      </c>
      <c r="D3" s="3">
        <v>4.3099999999999996</v>
      </c>
    </row>
    <row r="4" spans="1:4" x14ac:dyDescent="0.15">
      <c r="A4" s="3" t="s">
        <v>63</v>
      </c>
      <c r="B4" s="3">
        <v>17713</v>
      </c>
      <c r="C4" s="3">
        <v>16.91</v>
      </c>
      <c r="D4" s="3">
        <v>4.1399999999999997</v>
      </c>
    </row>
    <row r="5" spans="1:4" x14ac:dyDescent="0.15">
      <c r="A5" s="3" t="s">
        <v>64</v>
      </c>
      <c r="B5" s="3">
        <v>12499</v>
      </c>
      <c r="C5" s="3">
        <v>30.79</v>
      </c>
      <c r="D5" s="3">
        <v>3.12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5DE2-FA90-4B25-82E5-0EF45576AC58}">
  <dimension ref="A1:E21"/>
  <sheetViews>
    <sheetView workbookViewId="0">
      <selection activeCell="F4" sqref="F4"/>
    </sheetView>
  </sheetViews>
  <sheetFormatPr defaultRowHeight="13.5" x14ac:dyDescent="0.15"/>
  <cols>
    <col min="1" max="1" width="8.5" bestFit="1" customWidth="1"/>
    <col min="2" max="2" width="34.125" customWidth="1"/>
    <col min="3" max="3" width="11.625" bestFit="1" customWidth="1"/>
    <col min="4" max="4" width="8.5" bestFit="1" customWidth="1"/>
  </cols>
  <sheetData>
    <row r="1" spans="1:5" ht="27" x14ac:dyDescent="0.1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ht="67.5" x14ac:dyDescent="0.15">
      <c r="A2" s="3">
        <v>1</v>
      </c>
      <c r="B2" s="3" t="s">
        <v>70</v>
      </c>
      <c r="C2" s="3">
        <v>1124</v>
      </c>
      <c r="D2" s="3">
        <v>247007.06</v>
      </c>
      <c r="E2" s="3">
        <v>1.6</v>
      </c>
    </row>
    <row r="3" spans="1:5" ht="67.5" x14ac:dyDescent="0.15">
      <c r="A3" s="3">
        <v>2</v>
      </c>
      <c r="B3" s="3" t="s">
        <v>71</v>
      </c>
      <c r="C3" s="3">
        <v>973</v>
      </c>
      <c r="D3" s="3">
        <v>237806.69</v>
      </c>
      <c r="E3" s="3">
        <v>3.14</v>
      </c>
    </row>
    <row r="4" spans="1:5" ht="67.5" x14ac:dyDescent="0.15">
      <c r="A4" s="3">
        <v>3</v>
      </c>
      <c r="B4" s="3" t="s">
        <v>72</v>
      </c>
      <c r="C4" s="3">
        <v>1772</v>
      </c>
      <c r="D4" s="3">
        <v>231220.43</v>
      </c>
      <c r="E4" s="3">
        <v>4.6399999999999997</v>
      </c>
    </row>
    <row r="5" spans="1:5" ht="67.5" x14ac:dyDescent="0.15">
      <c r="A5" s="3">
        <v>4</v>
      </c>
      <c r="B5" s="3" t="s">
        <v>73</v>
      </c>
      <c r="C5" s="3">
        <v>348</v>
      </c>
      <c r="D5" s="3">
        <v>230797.02</v>
      </c>
      <c r="E5" s="3">
        <v>6.14</v>
      </c>
    </row>
    <row r="6" spans="1:5" ht="67.5" x14ac:dyDescent="0.15">
      <c r="A6" s="3">
        <v>5</v>
      </c>
      <c r="B6" s="3" t="s">
        <v>74</v>
      </c>
      <c r="C6" s="3">
        <v>578</v>
      </c>
      <c r="D6" s="3">
        <v>200833.5</v>
      </c>
      <c r="E6" s="3">
        <v>7.44</v>
      </c>
    </row>
    <row r="7" spans="1:5" ht="67.5" x14ac:dyDescent="0.15">
      <c r="A7" s="3">
        <v>6</v>
      </c>
      <c r="B7" s="3" t="s">
        <v>75</v>
      </c>
      <c r="C7" s="3">
        <v>1311</v>
      </c>
      <c r="D7" s="3">
        <v>184706.78</v>
      </c>
      <c r="E7" s="3">
        <v>8.64</v>
      </c>
    </row>
    <row r="8" spans="1:5" ht="67.5" x14ac:dyDescent="0.15">
      <c r="A8" s="3">
        <v>7</v>
      </c>
      <c r="B8" s="3" t="s">
        <v>76</v>
      </c>
      <c r="C8" s="3">
        <v>319</v>
      </c>
      <c r="D8" s="3">
        <v>171973.55</v>
      </c>
      <c r="E8" s="3">
        <v>9.76</v>
      </c>
    </row>
    <row r="9" spans="1:5" ht="67.5" x14ac:dyDescent="0.15">
      <c r="A9" s="3">
        <v>8</v>
      </c>
      <c r="B9" s="3" t="s">
        <v>77</v>
      </c>
      <c r="C9" s="3">
        <v>910</v>
      </c>
      <c r="D9" s="3">
        <v>171924.96</v>
      </c>
      <c r="E9" s="3">
        <v>10.87</v>
      </c>
    </row>
    <row r="10" spans="1:5" ht="67.5" x14ac:dyDescent="0.15">
      <c r="A10" s="3">
        <v>9</v>
      </c>
      <c r="B10" s="3" t="s">
        <v>78</v>
      </c>
      <c r="C10" s="3">
        <v>1145</v>
      </c>
      <c r="D10" s="3">
        <v>160278.51999999999</v>
      </c>
      <c r="E10" s="3">
        <v>11.91</v>
      </c>
    </row>
    <row r="11" spans="1:5" ht="67.5" x14ac:dyDescent="0.15">
      <c r="A11" s="3">
        <v>10</v>
      </c>
      <c r="B11" s="3" t="s">
        <v>79</v>
      </c>
      <c r="C11" s="3">
        <v>1261</v>
      </c>
      <c r="D11" s="3">
        <v>156606.48000000001</v>
      </c>
      <c r="E11" s="3">
        <v>12.93</v>
      </c>
    </row>
    <row r="12" spans="1:5" ht="67.5" x14ac:dyDescent="0.15">
      <c r="A12" s="3">
        <v>11</v>
      </c>
      <c r="B12" s="3" t="s">
        <v>80</v>
      </c>
      <c r="C12" s="3">
        <v>1819</v>
      </c>
      <c r="D12" s="3">
        <v>148050.94</v>
      </c>
      <c r="E12" s="3">
        <v>13.89</v>
      </c>
    </row>
    <row r="13" spans="1:5" ht="67.5" x14ac:dyDescent="0.15">
      <c r="A13" s="3">
        <v>12</v>
      </c>
      <c r="B13" s="3" t="s">
        <v>81</v>
      </c>
      <c r="C13" s="3">
        <v>1399</v>
      </c>
      <c r="D13" s="3">
        <v>141712.94</v>
      </c>
      <c r="E13" s="3">
        <v>14.81</v>
      </c>
    </row>
    <row r="14" spans="1:5" ht="67.5" x14ac:dyDescent="0.15">
      <c r="A14" s="3">
        <v>13</v>
      </c>
      <c r="B14" s="3" t="s">
        <v>82</v>
      </c>
      <c r="C14" s="3">
        <v>503</v>
      </c>
      <c r="D14" s="3">
        <v>134162.88</v>
      </c>
      <c r="E14" s="3">
        <v>15.68</v>
      </c>
    </row>
    <row r="15" spans="1:5" ht="67.5" x14ac:dyDescent="0.15">
      <c r="A15" s="3">
        <v>14</v>
      </c>
      <c r="B15" s="3" t="s">
        <v>83</v>
      </c>
      <c r="C15" s="3">
        <v>702</v>
      </c>
      <c r="D15" s="3">
        <v>130412.74</v>
      </c>
      <c r="E15" s="3">
        <v>16.52</v>
      </c>
    </row>
    <row r="16" spans="1:5" ht="67.5" x14ac:dyDescent="0.15">
      <c r="A16" s="3">
        <v>15</v>
      </c>
      <c r="B16" s="3" t="s">
        <v>84</v>
      </c>
      <c r="C16" s="3">
        <v>722</v>
      </c>
      <c r="D16" s="3">
        <v>126278.18</v>
      </c>
      <c r="E16" s="3">
        <v>17.34</v>
      </c>
    </row>
    <row r="17" spans="1:5" ht="67.5" x14ac:dyDescent="0.15">
      <c r="A17" s="3">
        <v>16</v>
      </c>
      <c r="B17" s="3" t="s">
        <v>85</v>
      </c>
      <c r="C17" s="3">
        <v>1651</v>
      </c>
      <c r="D17" s="3">
        <v>125936.99</v>
      </c>
      <c r="E17" s="3">
        <v>18.16</v>
      </c>
    </row>
    <row r="18" spans="1:5" ht="67.5" x14ac:dyDescent="0.15">
      <c r="A18" s="3">
        <v>17</v>
      </c>
      <c r="B18" s="3" t="s">
        <v>86</v>
      </c>
      <c r="C18" s="3">
        <v>322</v>
      </c>
      <c r="D18" s="3">
        <v>124702.92</v>
      </c>
      <c r="E18" s="3">
        <v>18.97</v>
      </c>
    </row>
    <row r="19" spans="1:5" ht="67.5" x14ac:dyDescent="0.15">
      <c r="A19" s="3">
        <v>18</v>
      </c>
      <c r="B19" s="3" t="s">
        <v>87</v>
      </c>
      <c r="C19" s="3">
        <v>558</v>
      </c>
      <c r="D19" s="3">
        <v>120934.47</v>
      </c>
      <c r="E19" s="3">
        <v>19.75</v>
      </c>
    </row>
    <row r="20" spans="1:5" ht="67.5" x14ac:dyDescent="0.15">
      <c r="A20" s="3">
        <v>19</v>
      </c>
      <c r="B20" s="3" t="s">
        <v>88</v>
      </c>
      <c r="C20" s="3">
        <v>1064</v>
      </c>
      <c r="D20" s="3">
        <v>115515.65</v>
      </c>
      <c r="E20" s="3">
        <v>20.5</v>
      </c>
    </row>
    <row r="21" spans="1:5" ht="67.5" x14ac:dyDescent="0.15">
      <c r="A21" s="3">
        <v>20</v>
      </c>
      <c r="B21" s="3" t="s">
        <v>89</v>
      </c>
      <c r="C21" s="3">
        <v>165</v>
      </c>
      <c r="D21" s="3">
        <v>83031.14</v>
      </c>
      <c r="E21" s="3">
        <v>21.04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项目总览</vt:lpstr>
      <vt:lpstr>月度GMV趋势</vt:lpstr>
      <vt:lpstr>各州销售表现</vt:lpstr>
      <vt:lpstr>商品类目top10</vt:lpstr>
      <vt:lpstr>客户RFM分层</vt:lpstr>
      <vt:lpstr>配送时长与评分</vt:lpstr>
      <vt:lpstr>卖家GMV集中度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2026-07-10T02:46:36Z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